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(Budget)" sheetId="1" state="visible" r:id="rId2"/>
    <sheet name="Mini Game Cod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<sst xmlns="http://schemas.openxmlformats.org/spreadsheetml/2006/main" count="142" uniqueCount="136">
  <si>
    <t xml:space="preserve">MINI DINO PROJECT  -  SOLDERLESS BOM  -  BUDGET BUILD (target ~Rs 600 - 800)</t>
  </si>
  <si>
    <t xml:space="preserve">16x2 I2C LCD mini game (dino + cactus drawn with custom 5x8 characters). Code: MiniDino.ino  |  Market: Bhagirath Palace, Chandni Chowk, Delhi  |  100% solderless</t>
  </si>
  <si>
    <t xml:space="preserve">S.No</t>
  </si>
  <si>
    <t xml:space="preserve">Component (exact part)</t>
  </si>
  <si>
    <t xml:space="preserve">Qty</t>
  </si>
  <si>
    <t xml:space="preserve">Solderless?</t>
  </si>
  <si>
    <t xml:space="preserve">Typical Chandni Chowk Rate (Rs)</t>
  </si>
  <si>
    <t xml:space="preserve">Rate Range (Rs)</t>
  </si>
  <si>
    <t xml:space="preserve">Online Ref (Rs)</t>
  </si>
  <si>
    <t xml:space="preserve">Notes / Why it is needed</t>
  </si>
  <si>
    <t xml:space="preserve">Arduino Uno R3 (CH340 clone)</t>
  </si>
  <si>
    <t xml:space="preserve">Yes - USB powered</t>
  </si>
  <si>
    <t xml:space="preserve">250 - 330</t>
  </si>
  <si>
    <t xml:space="preserve">299 - 499</t>
  </si>
  <si>
    <t xml:space="preserve">The brain. Runs MiniDino.ino. Clone boards have female headers - jumper wires plug straight in.</t>
  </si>
  <si>
    <t xml:space="preserve">16x2 LCD + I2C backpack (PCF8574)</t>
  </si>
  <si>
    <t xml:space="preserve">Yes - 4 wires</t>
  </si>
  <si>
    <t xml:space="preserve">140 - 190</t>
  </si>
  <si>
    <t xml:space="preserve">150 - 200</t>
  </si>
  <si>
    <t xml:space="preserve">The screen. 2 lines x 16 chars, only 4 wires (VCC/GND/SDA/SCL). Shows the dino + cactus + score. Set contrast with its tiny pot.</t>
  </si>
  <si>
    <t xml:space="preserve">KY-040 rotary encoder module</t>
  </si>
  <si>
    <t xml:space="preserve">Yes - pins pre-soldered</t>
  </si>
  <si>
    <t xml:space="preserve">35 - 55</t>
  </si>
  <si>
    <t xml:space="preserve">45 - 79</t>
  </si>
  <si>
    <t xml:space="preserve">The jump / start button (SW pin). 10k pull-ups onboard. DT + CLK are wired but not used by this code.</t>
  </si>
  <si>
    <t xml:space="preserve">Piezo buzzer 5V - PASSIVE (2-pin)</t>
  </si>
  <si>
    <t xml:space="preserve">Yes - 2 pins plug in</t>
  </si>
  <si>
    <t xml:space="preserve">5 - 12</t>
  </si>
  <si>
    <t xml:space="preserve">10 - 16</t>
  </si>
  <si>
    <t xml:space="preserve">Beeps on jump and crash. MUST be passive (the code uses tone() at 700 / 125 Hz). An active buzzer gives one fixed beep only.</t>
  </si>
  <si>
    <t xml:space="preserve">Solderless breadboard 400-point</t>
  </si>
  <si>
    <t xml:space="preserve">Yes - by definition</t>
  </si>
  <si>
    <t xml:space="preserve">55 - 90</t>
  </si>
  <si>
    <t xml:space="preserve">108 - 150</t>
  </si>
  <si>
    <t xml:space="preserve">All modules connect here. No soldering anywhere.</t>
  </si>
  <si>
    <t xml:space="preserve">Jumper wire set (Male-Male + Male-Female)</t>
  </si>
  <si>
    <t xml:space="preserve">Yes</t>
  </si>
  <si>
    <t xml:space="preserve">40 - 70</t>
  </si>
  <si>
    <t xml:space="preserve">99 - 250</t>
  </si>
  <si>
    <t xml:space="preserve">M-M for breadboard links, M-F for module-to-Arduino. ~25 wires is enough.</t>
  </si>
  <si>
    <t xml:space="preserve">USB A-to-B data cable</t>
  </si>
  <si>
    <t xml:space="preserve">100 - 179</t>
  </si>
  <si>
    <t xml:space="preserve">DATA cable, not charge-only. Skip (save ~Rs 50) if your board/kit already has one.</t>
  </si>
  <si>
    <t xml:space="preserve">OPTIONAL ADD-ONS (use the spare budget, up to ~Rs 800)</t>
  </si>
  <si>
    <t xml:space="preserve">O1</t>
  </si>
  <si>
    <t xml:space="preserve">TM1637 4-digit score display</t>
  </si>
  <si>
    <t xml:space="preserve">55 - 82</t>
  </si>
  <si>
    <t xml:space="preserve">Adds a separate bright score readout so the LCD can stay purely the game. Recommended if you have budget.</t>
  </si>
  <si>
    <t xml:space="preserve">O2</t>
  </si>
  <si>
    <t xml:space="preserve">9V battery + DC barrel-jack clip</t>
  </si>
  <si>
    <t xml:space="preserve">Yes - clip on</t>
  </si>
  <si>
    <t xml:space="preserve">70 - 120</t>
  </si>
  <si>
    <t xml:space="preserve">-</t>
  </si>
  <si>
    <t xml:space="preserve">Makes it handheld (no PC needed). Snap-on clip, barrel plug into the Uno jack.</t>
  </si>
  <si>
    <t xml:space="preserve">O3</t>
  </si>
  <si>
    <t xml:space="preserve">Project box / acrylic case</t>
  </si>
  <si>
    <t xml:space="preserve">80 - 200</t>
  </si>
  <si>
    <t xml:space="preserve">To house it as a finished product. Cosmetic only - pushes past Rs 800 if added with everything else.</t>
  </si>
  <si>
    <t xml:space="preserve">COST SUMMARY</t>
  </si>
  <si>
    <t xml:space="preserve">Build</t>
  </si>
  <si>
    <t xml:space="preserve">What it includes</t>
  </si>
  <si>
    <t xml:space="preserve">Amount (Rs)</t>
  </si>
  <si>
    <t xml:space="preserve">Within budget?</t>
  </si>
  <si>
    <t xml:space="preserve">Core build - typical</t>
  </si>
  <si>
    <t xml:space="preserve">Realistic street price for the 7 core items.</t>
  </si>
  <si>
    <t xml:space="preserve">Core build - cheapest / highest</t>
  </si>
  <si>
    <t xml:space="preserve">Low end with hard bargaining = Rs 565, high end without = Rs 817.</t>
  </si>
  <si>
    <t xml:space="preserve">Core + TM1637 (recommended)</t>
  </si>
  <si>
    <t xml:space="preserve">Adds a dedicated score display. Best value pick.</t>
  </si>
  <si>
    <t xml:space="preserve">Core + TM1637 + 9V battery</t>
  </si>
  <si>
    <t xml:space="preserve">Fully handheld build. Right at the top of the budget.</t>
  </si>
  <si>
    <t xml:space="preserve">Core + everything (incl. box)</t>
  </si>
  <si>
    <t xml:space="preserve">Exceeds Rs 800 - only if you really want the case.</t>
  </si>
  <si>
    <t xml:space="preserve">BUDGET CHECK:</t>
  </si>
  <si>
    <t xml:space="preserve">Core build lands at ~Rs 663 typical - comfortably inside Rs 600-800.</t>
  </si>
  <si>
    <t xml:space="preserve">Adding the TM1637 score display (~Rs 45) gives ~Rs 708.</t>
  </si>
  <si>
    <t xml:space="preserve">Adding the TM1637 + a 9V battery (~Rs 90) gives ~Rs 798 - the maximum that still fits under Rs 800.</t>
  </si>
  <si>
    <t xml:space="preserve">Do NOT add the project box on top of everything - that crosses Rs 800.</t>
  </si>
  <si>
    <t xml:space="preserve">WHAT THE CODE DOES (MiniDino.ino):</t>
  </si>
  <si>
    <t xml:space="preserve">A tiny Chrome-dino style runner. The dino sits at the left, a cactus scrolls from the right, press the KY-040 button to jump. Survive and the score climbs.</t>
  </si>
  <si>
    <t xml:space="preserve">The dino and cactus are drawn with custom 5x8 characters (CGRAM) - 2 run frames for the dino and 1 cactus. This is the only way a 16x2 LCD can show them.</t>
  </si>
  <si>
    <t xml:space="preserve">Screen layout: bottom row = the play field (dino + cactus); top row = the score (top-right) and the start / game-over messages.</t>
  </si>
  <si>
    <t xml:space="preserve">WIRING:</t>
  </si>
  <si>
    <t xml:space="preserve">LCD: VCC-&gt;5V, GND-&gt;GND, SDA-&gt;A4, SCL-&gt;A5</t>
  </si>
  <si>
    <t xml:space="preserve">KY-040: SW-&gt;D3, VCC-&gt;5V, GND-&gt;GND   (DT-&gt;D4, CLK-&gt;D2 wired, unused)</t>
  </si>
  <si>
    <t xml:space="preserve">Buzzer: + -&gt; D10, - -&gt; GND</t>
  </si>
  <si>
    <t xml:space="preserve">Library: install "LiquidCrystal I2C" (Frank de Brabander) from the Arduino Library Manager. If the screen is blank, change 0x27 to 0x3F in the code.</t>
  </si>
  <si>
    <t xml:space="preserve">SOLDERLESS: every module has pins that plug into the breadboard / Uno sockets. Jumper wires do the rest - no soldering iron at all.</t>
  </si>
  <si>
    <t xml:space="preserve">WHERE TO BUY: Bhagirath Palace, Chandni Chowk (near Chhippy Wada / Moti Cinema), Delhi 110006. Timings ~11 AM-7 PM, closed Sundays. Bargain on small quantities.</t>
  </si>
  <si>
    <t xml:space="preserve">Shops: Cosmic Devices, 1702/307 Bhagirath Palace; HJS Components, 1663 near Deewan Hall.</t>
  </si>
  <si>
    <t xml:space="preserve">MINI DINO  -  CODE SUMMARY  (file: MiniDino.ino)</t>
  </si>
  <si>
    <t xml:space="preserve">~170 lines, one sketch file. Compiles clean for Arduino Uno (syntax + type checked). Needs the LiquidCrystal I2C library.</t>
  </si>
  <si>
    <t xml:space="preserve">Part</t>
  </si>
  <si>
    <t xml:space="preserve">What it does</t>
  </si>
  <si>
    <t xml:space="preserve">Value / pins</t>
  </si>
  <si>
    <t xml:space="preserve">Notes</t>
  </si>
  <si>
    <t xml:space="preserve">Display</t>
  </si>
  <si>
    <t xml:space="preserve">16x2 I2C character LCD. Shows the game on the bottom row and the score / messages on the top row.</t>
  </si>
  <si>
    <t xml:space="preserve">LiquidCrystal_I2C lcd(0x27,16,2)</t>
  </si>
  <si>
    <t xml:space="preserve">Change 0x27 -&gt; 0x3F if the screen stays blank.</t>
  </si>
  <si>
    <t xml:space="preserve">Custom chars</t>
  </si>
  <si>
    <t xml:space="preserve">Dino in 2 run frames + a cactus, each drawn as a 5x8 bitmap in CGRAM.</t>
  </si>
  <si>
    <t xml:space="preserve">createChar 0,1,2</t>
  </si>
  <si>
    <t xml:space="preserve">Only 8 custom chars are possible on this LCD - we use 3.</t>
  </si>
  <si>
    <t xml:space="preserve">Input</t>
  </si>
  <si>
    <t xml:space="preserve">KY-040 encoder switch starts the game and makes the dino jump.</t>
  </si>
  <si>
    <t xml:space="preserve">SW=D3 (INPUT_PULLUP, FALLING interrupt)</t>
  </si>
  <si>
    <t xml:space="preserve">Interrupt-driven, so jumps feel instant. DT=D4, CLK=D2 unused.</t>
  </si>
  <si>
    <t xml:space="preserve">Jump</t>
  </si>
  <si>
    <t xml:space="preserve">On press the dino moves up a row for 450 ms, then lands.</t>
  </si>
  <si>
    <t xml:space="preserve">JUMP_MS = 450</t>
  </si>
  <si>
    <t xml:space="preserve">Tune this to change jump length.</t>
  </si>
  <si>
    <t xml:space="preserve">Cactus</t>
  </si>
  <si>
    <t xml:space="preserve">Scrolls one column left every 230 ms; when it leaves the screen the score goes up and a new one appears.</t>
  </si>
  <si>
    <t xml:space="preserve">MOVE_MS = 230, cactusCol 15..0</t>
  </si>
  <si>
    <t xml:space="preserve">Lower MOVE_MS = faster game.</t>
  </si>
  <si>
    <t xml:space="preserve">Collision</t>
  </si>
  <si>
    <t xml:space="preserve">If the cactus reaches column 0 while the dino is on the ground -&gt; GAME OVER.</t>
  </si>
  <si>
    <t xml:space="preserve">cactusCol==0 &amp;&amp; dinoRow==1</t>
  </si>
  <si>
    <t xml:space="preserve">Jump over the cactus to survive.</t>
  </si>
  <si>
    <t xml:space="preserve">Sound</t>
  </si>
  <si>
    <t xml:space="preserve">Beeps on jump (700 Hz) and on crash (125 Hz).</t>
  </si>
  <si>
    <t xml:space="preserve">buzzer=D10, tone()</t>
  </si>
  <si>
    <t xml:space="preserve">Use a PASSIVE piezo buzzer.</t>
  </si>
  <si>
    <t xml:space="preserve">States</t>
  </si>
  <si>
    <t xml:space="preserve">Start screen -&gt; play -&gt; game over -&gt; back to start.</t>
  </si>
  <si>
    <t xml:space="preserve">ST_START / ST_PLAY / ST_OVER</t>
  </si>
  <si>
    <t xml:space="preserve">Button behaviour changes with the state.</t>
  </si>
  <si>
    <t xml:space="preserve">Anti-flicker</t>
  </si>
  <si>
    <t xml:space="preserve">Only redraws cells that changed (cactus cell, dino cell, score) instead of clearing the whole screen.</t>
  </si>
  <si>
    <t xml:space="preserve">prevCactus / prevDinoRow / prevScore</t>
  </si>
  <si>
    <t xml:space="preserve">Keeps the 16x2 LCD stable and readable.</t>
  </si>
  <si>
    <t xml:space="preserve">Library</t>
  </si>
  <si>
    <t xml:space="preserve">LiquidCrystal I2C (Frank de Brabander) + Wire.</t>
  </si>
  <si>
    <t xml:space="preserve">Arduino Library Manager</t>
  </si>
  <si>
    <t xml:space="preserve">Free, one-click install.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</si>
</sst>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C00000"/>
      <name val="Consolas"/>
      <family val="0"/>
      <charset val="1"/>
    </font>
    <font>
      <sz val="9"/>
      <name val="Consola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9E"/>
        <bgColor rgb="FF3366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FCE4D6"/>
      </patternFill>
    </fill>
    <fill>
      <patternFill patternType="solid">
        <fgColor rgb="FFC6E0B4"/>
        <bgColor rgb="FFBFBFB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2E5F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6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5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9.5" hidden="false" customHeight="true" outlineLevel="0" collapsed="false">
      <c r="A5" s="4" t="n">
        <v>1</v>
      </c>
      <c r="B5" s="5" t="s">
        <v>10</v>
      </c>
      <c r="C5" s="4" t="n">
        <v>1</v>
      </c>
      <c r="D5" s="5" t="s">
        <v>11</v>
      </c>
      <c r="E5" s="6" t="n">
        <v>280</v>
      </c>
      <c r="F5" s="4" t="s">
        <v>12</v>
      </c>
      <c r="G5" s="4" t="s">
        <v>13</v>
      </c>
      <c r="H5" s="5" t="s">
        <v>14</v>
      </c>
    </row>
    <row r="6" customFormat="false" ht="49.5" hidden="false" customHeight="true" outlineLevel="0" collapsed="false">
      <c r="A6" s="4" t="n">
        <v>2</v>
      </c>
      <c r="B6" s="5" t="s">
        <v>15</v>
      </c>
      <c r="C6" s="4" t="n">
        <v>1</v>
      </c>
      <c r="D6" s="5" t="s">
        <v>16</v>
      </c>
      <c r="E6" s="6" t="n">
        <v>160</v>
      </c>
      <c r="F6" s="4" t="s">
        <v>17</v>
      </c>
      <c r="G6" s="4" t="s">
        <v>18</v>
      </c>
      <c r="H6" s="5" t="s">
        <v>19</v>
      </c>
    </row>
    <row r="7" customFormat="false" ht="49.5" hidden="false" customHeight="true" outlineLevel="0" collapsed="false">
      <c r="A7" s="4" t="n">
        <v>3</v>
      </c>
      <c r="B7" s="5" t="s">
        <v>20</v>
      </c>
      <c r="C7" s="4" t="n">
        <v>1</v>
      </c>
      <c r="D7" s="5" t="s">
        <v>21</v>
      </c>
      <c r="E7" s="6" t="n">
        <v>45</v>
      </c>
      <c r="F7" s="4" t="s">
        <v>22</v>
      </c>
      <c r="G7" s="4" t="s">
        <v>23</v>
      </c>
      <c r="H7" s="5" t="s">
        <v>24</v>
      </c>
    </row>
    <row r="8" customFormat="false" ht="49.5" hidden="false" customHeight="true" outlineLevel="0" collapsed="false">
      <c r="A8" s="4" t="n">
        <v>4</v>
      </c>
      <c r="B8" s="5" t="s">
        <v>25</v>
      </c>
      <c r="C8" s="4" t="n">
        <v>1</v>
      </c>
      <c r="D8" s="5" t="s">
        <v>26</v>
      </c>
      <c r="E8" s="6" t="n">
        <v>8</v>
      </c>
      <c r="F8" s="4" t="s">
        <v>27</v>
      </c>
      <c r="G8" s="4" t="s">
        <v>28</v>
      </c>
      <c r="H8" s="5" t="s">
        <v>29</v>
      </c>
    </row>
    <row r="9" customFormat="false" ht="49.5" hidden="false" customHeight="true" outlineLevel="0" collapsed="false">
      <c r="A9" s="4" t="n">
        <v>5</v>
      </c>
      <c r="B9" s="5" t="s">
        <v>30</v>
      </c>
      <c r="C9" s="4" t="n">
        <v>1</v>
      </c>
      <c r="D9" s="5" t="s">
        <v>31</v>
      </c>
      <c r="E9" s="6" t="n">
        <v>70</v>
      </c>
      <c r="F9" s="4" t="s">
        <v>32</v>
      </c>
      <c r="G9" s="4" t="s">
        <v>33</v>
      </c>
      <c r="H9" s="5" t="s">
        <v>34</v>
      </c>
    </row>
    <row r="10" customFormat="false" ht="49.5" hidden="false" customHeight="true" outlineLevel="0" collapsed="false">
      <c r="A10" s="4" t="n">
        <v>6</v>
      </c>
      <c r="B10" s="5" t="s">
        <v>35</v>
      </c>
      <c r="C10" s="4" t="n">
        <v>1</v>
      </c>
      <c r="D10" s="5" t="s">
        <v>36</v>
      </c>
      <c r="E10" s="6" t="n">
        <v>50</v>
      </c>
      <c r="F10" s="4" t="s">
        <v>37</v>
      </c>
      <c r="G10" s="4" t="s">
        <v>38</v>
      </c>
      <c r="H10" s="5" t="s">
        <v>39</v>
      </c>
    </row>
    <row r="11" customFormat="false" ht="49.5" hidden="false" customHeight="true" outlineLevel="0" collapsed="false">
      <c r="A11" s="4" t="n">
        <v>7</v>
      </c>
      <c r="B11" s="5" t="s">
        <v>40</v>
      </c>
      <c r="C11" s="4" t="n">
        <v>1</v>
      </c>
      <c r="D11" s="5" t="s">
        <v>36</v>
      </c>
      <c r="E11" s="6" t="n">
        <v>50</v>
      </c>
      <c r="F11" s="4" t="s">
        <v>37</v>
      </c>
      <c r="G11" s="4" t="s">
        <v>41</v>
      </c>
      <c r="H11" s="5" t="s">
        <v>42</v>
      </c>
    </row>
    <row r="13" customFormat="false" ht="15" hidden="false" customHeight="false" outlineLevel="0" collapsed="false">
      <c r="A13" s="7" t="s">
        <v>43</v>
      </c>
      <c r="B13" s="7"/>
      <c r="C13" s="7"/>
      <c r="D13" s="7"/>
      <c r="E13" s="7"/>
      <c r="F13" s="7"/>
      <c r="G13" s="7"/>
      <c r="H13" s="7"/>
    </row>
    <row r="14" customFormat="false" ht="43.5" hidden="false" customHeight="true" outlineLevel="0" collapsed="false">
      <c r="A14" s="8" t="s">
        <v>44</v>
      </c>
      <c r="B14" s="9" t="s">
        <v>45</v>
      </c>
      <c r="C14" s="8" t="n">
        <v>1</v>
      </c>
      <c r="D14" s="9" t="s">
        <v>21</v>
      </c>
      <c r="E14" s="10" t="n">
        <v>45</v>
      </c>
      <c r="F14" s="8" t="s">
        <v>22</v>
      </c>
      <c r="G14" s="8" t="s">
        <v>46</v>
      </c>
      <c r="H14" s="9" t="s">
        <v>47</v>
      </c>
    </row>
    <row r="15" customFormat="false" ht="43.5" hidden="false" customHeight="true" outlineLevel="0" collapsed="false">
      <c r="A15" s="8" t="s">
        <v>48</v>
      </c>
      <c r="B15" s="9" t="s">
        <v>49</v>
      </c>
      <c r="C15" s="8" t="n">
        <v>1</v>
      </c>
      <c r="D15" s="9" t="s">
        <v>50</v>
      </c>
      <c r="E15" s="10" t="n">
        <v>90</v>
      </c>
      <c r="F15" s="8" t="s">
        <v>51</v>
      </c>
      <c r="G15" s="8" t="s">
        <v>52</v>
      </c>
      <c r="H15" s="9" t="s">
        <v>53</v>
      </c>
    </row>
    <row r="16" customFormat="false" ht="43.5" hidden="false" customHeight="true" outlineLevel="0" collapsed="false">
      <c r="A16" s="8" t="s">
        <v>54</v>
      </c>
      <c r="B16" s="9" t="s">
        <v>55</v>
      </c>
      <c r="C16" s="8" t="n">
        <v>1</v>
      </c>
      <c r="D16" s="9" t="s">
        <v>36</v>
      </c>
      <c r="E16" s="10" t="n">
        <v>120</v>
      </c>
      <c r="F16" s="8" t="s">
        <v>56</v>
      </c>
      <c r="G16" s="8" t="s">
        <v>52</v>
      </c>
      <c r="H16" s="9" t="s">
        <v>57</v>
      </c>
    </row>
    <row r="18" customFormat="false" ht="15" hidden="false" customHeight="false" outlineLevel="0" collapsed="false">
      <c r="A18" s="11" t="s">
        <v>58</v>
      </c>
      <c r="B18" s="11"/>
      <c r="C18" s="11"/>
      <c r="D18" s="11"/>
      <c r="E18" s="11"/>
      <c r="F18" s="11"/>
      <c r="G18" s="11"/>
      <c r="H18" s="11"/>
    </row>
    <row r="19" customFormat="false" ht="15" hidden="false" customHeight="false" outlineLevel="0" collapsed="false">
      <c r="A19" s="12" t="s">
        <v>59</v>
      </c>
      <c r="B19" s="12" t="s">
        <v>60</v>
      </c>
      <c r="C19" s="12" t="s">
        <v>61</v>
      </c>
      <c r="D19" s="12" t="s">
        <v>62</v>
      </c>
      <c r="E19" s="12"/>
      <c r="F19" s="12"/>
      <c r="G19" s="12"/>
      <c r="H19" s="12"/>
    </row>
    <row r="20" customFormat="false" ht="15" hidden="false" customHeight="true" outlineLevel="0" collapsed="false">
      <c r="A20" s="13" t="s">
        <v>63</v>
      </c>
      <c r="B20" s="14"/>
      <c r="C20" s="15" t="n">
        <f aca="false">SUM(E5:E11)</f>
        <v>663</v>
      </c>
      <c r="D20" s="16" t="s">
        <v>64</v>
      </c>
      <c r="E20" s="16"/>
      <c r="F20" s="16"/>
      <c r="G20" s="16"/>
      <c r="H20" s="16"/>
    </row>
    <row r="21" customFormat="false" ht="15" hidden="false" customHeight="true" outlineLevel="0" collapsed="false">
      <c r="A21" s="17" t="s">
        <v>65</v>
      </c>
      <c r="B21" s="17"/>
      <c r="C21" s="6" t="n">
        <f aca="false">SUM(E5:E11)</f>
        <v>663</v>
      </c>
      <c r="D21" s="5" t="s">
        <v>66</v>
      </c>
      <c r="E21" s="5"/>
      <c r="F21" s="5"/>
      <c r="G21" s="5"/>
      <c r="H21" s="5"/>
    </row>
    <row r="22" customFormat="false" ht="15" hidden="false" customHeight="true" outlineLevel="0" collapsed="false">
      <c r="A22" s="13" t="s">
        <v>67</v>
      </c>
      <c r="B22" s="14"/>
      <c r="C22" s="15" t="n">
        <f aca="false">SUM(E5:E11)+E14</f>
        <v>708</v>
      </c>
      <c r="D22" s="16" t="s">
        <v>68</v>
      </c>
      <c r="E22" s="16"/>
      <c r="F22" s="16"/>
      <c r="G22" s="16"/>
      <c r="H22" s="16"/>
    </row>
    <row r="23" customFormat="false" ht="15" hidden="false" customHeight="true" outlineLevel="0" collapsed="false">
      <c r="A23" s="18" t="s">
        <v>69</v>
      </c>
      <c r="B23" s="19"/>
      <c r="C23" s="20" t="n">
        <f aca="false">SUM(E5:E11)+E14+E15</f>
        <v>798</v>
      </c>
      <c r="D23" s="21" t="s">
        <v>70</v>
      </c>
      <c r="E23" s="21"/>
      <c r="F23" s="21"/>
      <c r="G23" s="21"/>
      <c r="H23" s="21"/>
    </row>
    <row r="24" customFormat="false" ht="15" hidden="false" customHeight="true" outlineLevel="0" collapsed="false">
      <c r="A24" s="17" t="s">
        <v>71</v>
      </c>
      <c r="B24" s="17"/>
      <c r="C24" s="6" t="n">
        <f aca="false">SUM(E5:E11)+SUM(E14:E16)</f>
        <v>918</v>
      </c>
      <c r="D24" s="5" t="s">
        <v>72</v>
      </c>
      <c r="E24" s="5"/>
      <c r="F24" s="5"/>
      <c r="G24" s="5"/>
      <c r="H24" s="5"/>
    </row>
    <row r="26" customFormat="false" ht="15" hidden="false" customHeight="true" outlineLevel="0" collapsed="false">
      <c r="A26" s="22" t="s">
        <v>73</v>
      </c>
      <c r="B26" s="22"/>
      <c r="C26" s="22"/>
      <c r="D26" s="22"/>
      <c r="E26" s="22"/>
      <c r="F26" s="22"/>
      <c r="G26" s="22"/>
      <c r="H26" s="22"/>
    </row>
    <row r="27" customFormat="false" ht="15" hidden="false" customHeight="true" outlineLevel="0" collapsed="false">
      <c r="A27" s="23" t="s">
        <v>74</v>
      </c>
      <c r="B27" s="23"/>
      <c r="C27" s="23"/>
      <c r="D27" s="23"/>
      <c r="E27" s="23"/>
      <c r="F27" s="23"/>
      <c r="G27" s="23"/>
      <c r="H27" s="23"/>
    </row>
    <row r="28" customFormat="false" ht="15" hidden="false" customHeight="true" outlineLevel="0" collapsed="false">
      <c r="A28" s="23" t="s">
        <v>75</v>
      </c>
      <c r="B28" s="23"/>
      <c r="C28" s="23"/>
      <c r="D28" s="23"/>
      <c r="E28" s="23"/>
      <c r="F28" s="23"/>
      <c r="G28" s="23"/>
      <c r="H28" s="23"/>
    </row>
    <row r="29" customFormat="false" ht="15" hidden="false" customHeight="true" outlineLevel="0" collapsed="false">
      <c r="A29" s="23" t="s">
        <v>76</v>
      </c>
      <c r="B29" s="23"/>
      <c r="C29" s="23"/>
      <c r="D29" s="23"/>
      <c r="E29" s="23"/>
      <c r="F29" s="23"/>
      <c r="G29" s="23"/>
      <c r="H29" s="23"/>
    </row>
    <row r="30" customFormat="false" ht="15" hidden="false" customHeight="true" outlineLevel="0" collapsed="false">
      <c r="A30" s="23" t="s">
        <v>77</v>
      </c>
      <c r="B30" s="23"/>
      <c r="C30" s="23"/>
      <c r="D30" s="23"/>
      <c r="E30" s="23"/>
      <c r="F30" s="23"/>
      <c r="G30" s="23"/>
      <c r="H30" s="23"/>
    </row>
    <row r="31" customFormat="false" ht="15" hidden="false" customHeight="false" outlineLevel="0" collapsed="false">
      <c r="A31" s="23"/>
      <c r="B31" s="23"/>
      <c r="C31" s="23"/>
      <c r="D31" s="23"/>
      <c r="E31" s="23"/>
      <c r="F31" s="23"/>
      <c r="G31" s="23"/>
      <c r="H31" s="23"/>
    </row>
    <row r="32" customFormat="false" ht="15" hidden="false" customHeight="true" outlineLevel="0" collapsed="false">
      <c r="A32" s="22" t="s">
        <v>78</v>
      </c>
      <c r="B32" s="22"/>
      <c r="C32" s="22"/>
      <c r="D32" s="22"/>
      <c r="E32" s="22"/>
      <c r="F32" s="22"/>
      <c r="G32" s="22"/>
      <c r="H32" s="22"/>
    </row>
    <row r="33" customFormat="false" ht="15" hidden="false" customHeight="true" outlineLevel="0" collapsed="false">
      <c r="A33" s="23" t="s">
        <v>79</v>
      </c>
      <c r="B33" s="23"/>
      <c r="C33" s="23"/>
      <c r="D33" s="23"/>
      <c r="E33" s="23"/>
      <c r="F33" s="23"/>
      <c r="G33" s="23"/>
      <c r="H33" s="23"/>
    </row>
    <row r="34" customFormat="false" ht="15" hidden="false" customHeight="true" outlineLevel="0" collapsed="false">
      <c r="A34" s="23" t="s">
        <v>80</v>
      </c>
      <c r="B34" s="23"/>
      <c r="C34" s="23"/>
      <c r="D34" s="23"/>
      <c r="E34" s="23"/>
      <c r="F34" s="23"/>
      <c r="G34" s="23"/>
      <c r="H34" s="23"/>
    </row>
    <row r="35" customFormat="false" ht="15" hidden="false" customHeight="true" outlineLevel="0" collapsed="false">
      <c r="A35" s="23" t="s">
        <v>81</v>
      </c>
      <c r="B35" s="23"/>
      <c r="C35" s="23"/>
      <c r="D35" s="23"/>
      <c r="E35" s="23"/>
      <c r="F35" s="23"/>
      <c r="G35" s="23"/>
      <c r="H35" s="23"/>
    </row>
    <row r="36" customFormat="false" ht="15" hidden="false" customHeight="false" outlineLevel="0" collapsed="false">
      <c r="A36" s="23"/>
      <c r="B36" s="23"/>
      <c r="C36" s="23"/>
      <c r="D36" s="23"/>
      <c r="E36" s="23"/>
      <c r="F36" s="23"/>
      <c r="G36" s="23"/>
      <c r="H36" s="23"/>
    </row>
    <row r="37" customFormat="false" ht="15" hidden="false" customHeight="true" outlineLevel="0" collapsed="false">
      <c r="A37" s="22" t="s">
        <v>82</v>
      </c>
      <c r="B37" s="22"/>
      <c r="C37" s="22"/>
      <c r="D37" s="22"/>
      <c r="E37" s="22"/>
      <c r="F37" s="22"/>
      <c r="G37" s="22"/>
      <c r="H37" s="22"/>
    </row>
    <row r="38" customFormat="false" ht="15" hidden="false" customHeight="true" outlineLevel="0" collapsed="false">
      <c r="A38" s="24" t="s">
        <v>83</v>
      </c>
      <c r="B38" s="24"/>
      <c r="C38" s="24"/>
      <c r="D38" s="24"/>
      <c r="E38" s="24"/>
      <c r="F38" s="24"/>
      <c r="G38" s="24"/>
      <c r="H38" s="24"/>
    </row>
    <row r="39" customFormat="false" ht="15" hidden="false" customHeight="true" outlineLevel="0" collapsed="false">
      <c r="A39" s="24" t="s">
        <v>84</v>
      </c>
      <c r="B39" s="24"/>
      <c r="C39" s="24"/>
      <c r="D39" s="24"/>
      <c r="E39" s="24"/>
      <c r="F39" s="24"/>
      <c r="G39" s="24"/>
      <c r="H39" s="24"/>
    </row>
    <row r="40" customFormat="false" ht="15" hidden="false" customHeight="true" outlineLevel="0" collapsed="false">
      <c r="A40" s="24" t="s">
        <v>85</v>
      </c>
      <c r="B40" s="24"/>
      <c r="C40" s="24"/>
      <c r="D40" s="24"/>
      <c r="E40" s="24"/>
      <c r="F40" s="24"/>
      <c r="G40" s="24"/>
      <c r="H40" s="24"/>
    </row>
    <row r="41" customFormat="false" ht="15" hidden="false" customHeight="true" outlineLevel="0" collapsed="false">
      <c r="A41" s="23" t="s">
        <v>86</v>
      </c>
      <c r="B41" s="23"/>
      <c r="C41" s="23"/>
      <c r="D41" s="23"/>
      <c r="E41" s="23"/>
      <c r="F41" s="23"/>
      <c r="G41" s="23"/>
      <c r="H41" s="23"/>
    </row>
    <row r="42" customFormat="false" ht="15" hidden="false" customHeight="false" outlineLevel="0" collapsed="false">
      <c r="A42" s="23"/>
      <c r="B42" s="23"/>
      <c r="C42" s="23"/>
      <c r="D42" s="23"/>
      <c r="E42" s="23"/>
      <c r="F42" s="23"/>
      <c r="G42" s="23"/>
      <c r="H42" s="23"/>
    </row>
    <row r="43" customFormat="false" ht="15" hidden="false" customHeight="true" outlineLevel="0" collapsed="false">
      <c r="A43" s="23" t="s">
        <v>87</v>
      </c>
      <c r="B43" s="23"/>
      <c r="C43" s="23"/>
      <c r="D43" s="23"/>
      <c r="E43" s="23"/>
      <c r="F43" s="23"/>
      <c r="G43" s="23"/>
      <c r="H43" s="23"/>
    </row>
    <row r="44" customFormat="false" ht="15" hidden="false" customHeight="false" outlineLevel="0" collapsed="false">
      <c r="A44" s="23"/>
      <c r="B44" s="23"/>
      <c r="C44" s="23"/>
      <c r="D44" s="23"/>
      <c r="E44" s="23"/>
      <c r="F44" s="23"/>
      <c r="G44" s="23"/>
      <c r="H44" s="23"/>
    </row>
    <row r="45" customFormat="false" ht="15" hidden="false" customHeight="true" outlineLevel="0" collapsed="false">
      <c r="A45" s="23" t="s">
        <v>88</v>
      </c>
      <c r="B45" s="23"/>
      <c r="C45" s="23"/>
      <c r="D45" s="23"/>
      <c r="E45" s="23"/>
      <c r="F45" s="23"/>
      <c r="G45" s="23"/>
      <c r="H45" s="23"/>
    </row>
    <row r="46" customFormat="false" ht="15" hidden="false" customHeight="true" outlineLevel="0" collapsed="false">
      <c r="A46" s="23" t="s">
        <v>89</v>
      </c>
      <c r="B46" s="23"/>
      <c r="C46" s="23"/>
      <c r="D46" s="23"/>
      <c r="E46" s="23"/>
      <c r="F46" s="23"/>
      <c r="G46" s="23"/>
      <c r="H46" s="23"/>
    </row>
  </sheetData>
  <mergeCells count="31">
    <mergeCell ref="A1:H1"/>
    <mergeCell ref="A2:H2"/>
    <mergeCell ref="A13:H13"/>
    <mergeCell ref="A18:H18"/>
    <mergeCell ref="D19:H19"/>
    <mergeCell ref="D20:H20"/>
    <mergeCell ref="D21:H21"/>
    <mergeCell ref="D22:H22"/>
    <mergeCell ref="D23:H23"/>
    <mergeCell ref="D24:H24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  <mergeCell ref="A39:H39"/>
    <mergeCell ref="A40:H40"/>
    <mergeCell ref="A41:H41"/>
    <mergeCell ref="A42:H42"/>
    <mergeCell ref="A43:H43"/>
    <mergeCell ref="A44:H44"/>
    <mergeCell ref="A45:H45"/>
    <mergeCell ref="A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52"/>
    <col collapsed="false" customWidth="true" hidden="false" outlineLevel="0" max="3" min="3" style="0" width="34"/>
    <col collapsed="false" customWidth="true" hidden="false" outlineLevel="0" max="4" min="4" style="0" width="46"/>
  </cols>
  <sheetData>
    <row r="1" customFormat="false" ht="27.75" hidden="false" customHeight="true" outlineLevel="0" collapsed="false">
      <c r="A1" s="1" t="s">
        <v>90</v>
      </c>
      <c r="B1" s="1"/>
      <c r="C1" s="1"/>
      <c r="D1" s="1"/>
    </row>
    <row r="2" customFormat="false" ht="19.5" hidden="false" customHeight="true" outlineLevel="0" collapsed="false">
      <c r="A2" s="2" t="s">
        <v>91</v>
      </c>
      <c r="B2" s="2"/>
      <c r="C2" s="2"/>
      <c r="D2" s="2"/>
    </row>
    <row r="4" customFormat="false" ht="27.75" hidden="false" customHeight="true" outlineLevel="0" collapsed="false">
      <c r="A4" s="3" t="s">
        <v>92</v>
      </c>
      <c r="B4" s="3" t="s">
        <v>93</v>
      </c>
      <c r="C4" s="3" t="s">
        <v>94</v>
      </c>
      <c r="D4" s="3" t="s">
        <v>95</v>
      </c>
    </row>
    <row r="5" customFormat="false" ht="42" hidden="false" customHeight="true" outlineLevel="0" collapsed="false">
      <c r="A5" s="25" t="s">
        <v>96</v>
      </c>
      <c r="B5" s="5" t="s">
        <v>97</v>
      </c>
      <c r="C5" s="26" t="s">
        <v>98</v>
      </c>
      <c r="D5" s="5" t="s">
        <v>99</v>
      </c>
    </row>
    <row r="6" customFormat="false" ht="42" hidden="false" customHeight="true" outlineLevel="0" collapsed="false">
      <c r="A6" s="25" t="s">
        <v>100</v>
      </c>
      <c r="B6" s="5" t="s">
        <v>101</v>
      </c>
      <c r="C6" s="26" t="s">
        <v>102</v>
      </c>
      <c r="D6" s="5" t="s">
        <v>103</v>
      </c>
    </row>
    <row r="7" customFormat="false" ht="42" hidden="false" customHeight="true" outlineLevel="0" collapsed="false">
      <c r="A7" s="25" t="s">
        <v>104</v>
      </c>
      <c r="B7" s="5" t="s">
        <v>105</v>
      </c>
      <c r="C7" s="26" t="s">
        <v>106</v>
      </c>
      <c r="D7" s="5" t="s">
        <v>107</v>
      </c>
    </row>
    <row r="8" customFormat="false" ht="42" hidden="false" customHeight="true" outlineLevel="0" collapsed="false">
      <c r="A8" s="25" t="s">
        <v>108</v>
      </c>
      <c r="B8" s="5" t="s">
        <v>109</v>
      </c>
      <c r="C8" s="26" t="s">
        <v>110</v>
      </c>
      <c r="D8" s="5" t="s">
        <v>111</v>
      </c>
    </row>
    <row r="9" customFormat="false" ht="42" hidden="false" customHeight="true" outlineLevel="0" collapsed="false">
      <c r="A9" s="25" t="s">
        <v>112</v>
      </c>
      <c r="B9" s="5" t="s">
        <v>113</v>
      </c>
      <c r="C9" s="26" t="s">
        <v>114</v>
      </c>
      <c r="D9" s="5" t="s">
        <v>115</v>
      </c>
    </row>
    <row r="10" customFormat="false" ht="42" hidden="false" customHeight="true" outlineLevel="0" collapsed="false">
      <c r="A10" s="25" t="s">
        <v>116</v>
      </c>
      <c r="B10" s="5" t="s">
        <v>117</v>
      </c>
      <c r="C10" s="26" t="s">
        <v>118</v>
      </c>
      <c r="D10" s="5" t="s">
        <v>119</v>
      </c>
    </row>
    <row r="11" customFormat="false" ht="42" hidden="false" customHeight="true" outlineLevel="0" collapsed="false">
      <c r="A11" s="25" t="s">
        <v>120</v>
      </c>
      <c r="B11" s="5" t="s">
        <v>121</v>
      </c>
      <c r="C11" s="26" t="s">
        <v>122</v>
      </c>
      <c r="D11" s="5" t="s">
        <v>123</v>
      </c>
    </row>
    <row r="12" customFormat="false" ht="42" hidden="false" customHeight="true" outlineLevel="0" collapsed="false">
      <c r="A12" s="25" t="s">
        <v>124</v>
      </c>
      <c r="B12" s="5" t="s">
        <v>125</v>
      </c>
      <c r="C12" s="26" t="s">
        <v>126</v>
      </c>
      <c r="D12" s="5" t="s">
        <v>127</v>
      </c>
    </row>
    <row r="13" customFormat="false" ht="42" hidden="false" customHeight="true" outlineLevel="0" collapsed="false">
      <c r="A13" s="25" t="s">
        <v>128</v>
      </c>
      <c r="B13" s="5" t="s">
        <v>129</v>
      </c>
      <c r="C13" s="26" t="s">
        <v>130</v>
      </c>
      <c r="D13" s="5" t="s">
        <v>131</v>
      </c>
    </row>
    <row r="14" customFormat="false" ht="42" hidden="false" customHeight="true" outlineLevel="0" collapsed="false">
      <c r="A14" s="25" t="s">
        <v>132</v>
      </c>
      <c r="B14" s="5" t="s">
        <v>133</v>
      </c>
      <c r="C14" s="26" t="s">
        <v>134</v>
      </c>
      <c r="D14" s="5" t="s">
        <v>135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2026-10-24T07:12:33Z</dcterms:created>
  <dc:creator>openpyxl</dc:creator>
  <dc:description/>
  <dc:language>en-US</dc:language>
  <cp:lastModifiedBy/>
  <dcterms:modified xsi:type="dcterms:W3CDTF">2026-10-24T07:12:33Z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